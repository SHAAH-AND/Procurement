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99a9edb3d142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RS Gaps" sheetId="1" r:id="R50f78eb8591542cc"/>
    <x:sheet xmlns:r="http://schemas.openxmlformats.org/officeDocument/2006/relationships" name="Build Start" sheetId="2" r:id="R20a12561e15346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2">
    <x:font>
      <x:sz val="11"/>
      <x:name val="Carlito"/>
    </x:font>
    <x:font>
      <x:b/>
      <x:sz val="15"/>
      <x:color rgb="FF1F1F1F"/>
      <x:name val="Arial"/>
    </x:font>
    <x:font>
      <x:i/>
      <x:sz val="10"/>
      <x:color rgb="FF666666"/>
      <x:name val="Arial"/>
    </x:font>
    <x:font>
      <x:sz val="10"/>
      <x:name val="Arial"/>
    </x:font>
    <x:font>
      <x:b/>
      <x:sz val="10"/>
      <x:color rgb="FF17365D"/>
      <x:name val="Arial"/>
    </x:font>
    <x:font>
      <x:b/>
      <x:sz val="11"/>
      <x:color rgb="FF1F1F1F"/>
      <x:name val="Arial"/>
    </x:font>
    <x:font>
      <x:i/>
      <x:sz val="9"/>
      <x:color rgb="FF555555"/>
      <x:name val="Arial"/>
    </x:font>
    <x:font>
      <x:b/>
      <x:sz val="10"/>
      <x:color rgb="FFFFFFFF"/>
      <x:name val="Arial"/>
    </x:font>
    <x:font>
      <x:sz val="9"/>
      <x:color rgb="FF1F1F1F"/>
      <x:name val="Arial"/>
    </x:font>
    <x:font>
      <x:i/>
      <x:sz val="9"/>
      <x:color rgb="FF666666"/>
      <x:name val="Arial"/>
    </x:font>
    <x:font>
      <x:sz val="10"/>
      <x:color rgb="FF1F1F1F"/>
      <x:name val="Arial"/>
    </x:font>
    <x:font>
      <x:sz val="9"/>
      <x:color rgb="FF9C650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DCE6F1"/>
      </x:patternFill>
    </x:fill>
    <x:fill>
      <x:patternFill patternType="solid">
        <x:fgColor rgb="FFF4F7FB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8">
    <x:border/>
    <x:border>
      <x:left style="thin">
        <x:color rgb="FFC9D2DC"/>
      </x:left>
      <x:top style="thin">
        <x:color rgb="FFC9D2DC"/>
      </x:top>
    </x:border>
    <x:border>
      <x:right style="thin">
        <x:color rgb="FFC9D2DC"/>
      </x:right>
      <x:top style="thin">
        <x:color rgb="FFC9D2DC"/>
      </x:top>
    </x:border>
    <x:border>
      <x:left style="thin">
        <x:color rgb="FFC9D2DC"/>
      </x:left>
      <x:bottom style="thin">
        <x:color rgb="FFC9D2DC"/>
      </x:bottom>
    </x:border>
    <x:border>
      <x:right style="thin">
        <x:color rgb="FFC9D2DC"/>
      </x:right>
      <x:bottom style="thin">
        <x:color rgb="FFC9D2DC"/>
      </x:bottom>
    </x:border>
    <x:border>
      <x:top style="thin">
        <x:color rgb="FFC9D2DC"/>
      </x:top>
    </x:border>
    <x:border>
      <x:bottom style="thin">
        <x:color rgb="FFC9D2DC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5" xfId="0" applyNumberFormat="1" applyFont="1" applyFill="1" applyBorder="1"/>
    <x:xf numFmtId="0" fontId="4" fillId="2" borderId="1" xfId="0" applyNumberFormat="1" applyFont="1" applyFill="1" applyBorder="1"/>
    <x:xf numFmtId="0" fontId="4" fillId="2" borderId="2" xfId="0" applyNumberFormat="1" applyFont="1" applyFill="1" applyBorder="1"/>
    <x:xf numFmtId="0" fontId="4" fillId="2" borderId="5" xfId="0" applyNumberFormat="1" applyFont="1" applyFill="1" applyBorder="1"/>
    <x:xf numFmtId="0" fontId="5" fillId="2" borderId="2" xfId="0" applyNumberFormat="1" applyFont="1" applyFill="1" applyBorder="1"/>
    <x:xf numFmtId="0" fontId="5" fillId="2" borderId="1" xfId="0" applyNumberFormat="1" applyFont="1" applyFill="1" applyBorder="1"/>
    <x:xf numFmtId="0" fontId="5" fillId="2" borderId="5" xfId="0" applyNumberFormat="1" applyFont="1" applyFill="1" applyBorder="1"/>
    <x:xf numFmtId="0" fontId="0" fillId="3" borderId="0" xfId="0" applyNumberFormat="1" applyFont="1" applyFill="1" applyBorder="1"/>
    <x:xf numFmtId="0" fontId="6" fillId="3" borderId="0" xfId="0" applyNumberFormat="1" applyFont="1" applyFill="1" applyBorder="1"/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7" xfId="0" applyNumberFormat="1" applyFont="1" applyFill="1" applyBorder="1"/>
    <x:xf numFmtId="0" fontId="7" fillId="4" borderId="7" xfId="0" applyNumberFormat="1" applyFont="1" applyFill="1" applyBorder="1" applyAlignment="1">
      <x:alignment wrapText="1"/>
    </x:xf>
    <x:xf numFmtId="0" fontId="7" fillId="4" borderId="7" xfId="0" applyNumberFormat="1" applyFont="1" applyFill="1" applyBorder="1" applyAlignment="1">
      <x:alignment horizontal="center" wrapText="1"/>
    </x:xf>
    <x:xf numFmtId="0" fontId="7" fillId="4" borderId="7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 applyAlignment="1">
      <x:alignment horizontal="center" vertical="top" wrapText="1"/>
    </x:xf>
    <x:xf numFmtId="200" fontId="8" fillId="0" borderId="0" xfId="0" applyNumberFormat="1" applyFont="1" applyFill="1" applyBorder="1" applyAlignment="1">
      <x:alignment horizontal="center" vertical="top" wrapText="1"/>
    </x:xf>
    <x:xf numFmtId="0" fontId="9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4" fillId="2" borderId="1" xfId="0" applyNumberFormat="1" applyFont="1" applyFill="1" applyBorder="1" applyAlignment="1">
      <x:alignment vertical="top"/>
    </x:xf>
    <x:xf numFmtId="0" fontId="3" fillId="0" borderId="3" xfId="0" applyNumberFormat="1" applyFont="1" applyFill="1" applyBorder="1" applyAlignment="1">
      <x:alignment vertical="top"/>
    </x:xf>
    <x:xf numFmtId="0" fontId="6" fillId="3" borderId="0" xfId="0" applyNumberFormat="1" applyFont="1" applyFill="1" applyBorder="1" applyAlignment="1">
      <x:alignment vertical="top"/>
    </x:xf>
    <x:xf numFmtId="0" fontId="7" fillId="4" borderId="7" xfId="0" applyNumberFormat="1" applyFont="1" applyFill="1" applyBorder="1" applyAlignment="1">
      <x:alignment horizontal="center" vertical="top" wrapText="1"/>
    </x:xf>
    <x:xf numFmtId="0" fontId="9" fillId="0" borderId="0" xfId="0" applyNumberFormat="1" applyFont="1" applyFill="1" applyBorder="1" applyAlignment="1">
      <x:alignment vertical="top"/>
    </x:xf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/>
    <x:xf numFmtId="0" fontId="11" fillId="5" borderId="0" xfId="0" applyNumberFormat="1" applyFont="1" applyFill="1" applyBorder="1"/>
    <x:xf numFmtId="0" fontId="11" fillId="5" borderId="0" xfId="0" applyNumberFormat="1" applyFont="1" applyFill="1" applyBorder="1" applyAlignment="1">
      <x:alignment wrapText="1"/>
    </x:xf>
  </x:cellXfs>
  <x:cellStyles count="1">
    <x:cellStyle name="Normal" xfId="0"/>
  </x:cellStyles>
  <x:dxfs count="9"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75e7de7fb24797" /><Relationship Type="http://schemas.openxmlformats.org/officeDocument/2006/relationships/theme" Target="/xl/theme/theme1.xml" Id="R58cd327690cb48f0" /><Relationship Type="http://schemas.openxmlformats.org/officeDocument/2006/relationships/sharedStrings" Target="/xl/sharedStrings.xml" Id="R40bf9a33753443e5" /><Relationship Type="http://schemas.openxmlformats.org/officeDocument/2006/relationships/worksheet" Target="/xl/worksheets/sheet1.xml" Id="R50f78eb8591542cc" /><Relationship Type="http://schemas.openxmlformats.org/officeDocument/2006/relationships/worksheet" Target="/xl/worksheets/sheet2.xml" Id="R20a12561e1534614" /></Relationships>
</file>

<file path=xl/tables/table1.xml><?xml version="1.0" encoding="utf-8"?>
<x:table xmlns:x="http://schemas.openxmlformats.org/spreadsheetml/2006/main" id="1" name="SrsGapTable" displayName="SrsGapTable" ref="A9:M41" headerRowCount="1" totalsRowCount="0" totalsRowShown="0">
  <x:autoFilter ref="A9:M41"/>
  <x:tableColumns count="13">
    <x:tableColumn id="1" name="Gap ID"/>
    <x:tableColumn id="2" name="Priority"/>
    <x:tableColumn id="3" name="Area"/>
    <x:tableColumn id="4" name="SRS pages"/>
    <x:tableColumn id="5" name="Current issue"/>
    <x:tableColumn id="6" name="Required SRS update"/>
    <x:tableColumn id="7" name="Decision or input needed"/>
    <x:tableColumn id="8" name="Proposed owner"/>
    <x:tableColumn id="9" name="Development blocked"/>
    <x:tableColumn id="10" name="Acceptance condition"/>
    <x:tableColumn id="11" name="Status"/>
    <x:tableColumn id="12" name="Target date"/>
    <x:tableColumn id="13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uildStartTable" displayName="BuildStartTable" ref="A6:E18" headerRowCount="1" totalsRowCount="0" totalsRowShown="0">
  <x:tableColumns count="5">
    <x:tableColumn id="1" name="Work area"/>
    <x:tableColumn id="2" name="Can start now"/>
    <x:tableColumn id="3" name="Work allowed now"/>
    <x:tableColumn id="4" name="Requirement still needed"/>
    <x:tableColumn id="5" name="Start condi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e860738aa1b4ad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a87f6b5cf53462c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4" ySplit="9" topLeftCell="E10" activePane="bottomRight" state="frozen"/>
    </x:sheetView>
  </x:sheetViews>
  <x:sheetFormatPr defaultRowHeight="15"/>
  <x:cols>
    <x:col min="1" max="1" width="11" hidden="0" customWidth="1"/>
    <x:col min="2" max="2" width="9" hidden="0" customWidth="1"/>
    <x:col min="3" max="3" width="24" hidden="0" customWidth="1"/>
    <x:col min="4" max="4" width="15" hidden="0" customWidth="1"/>
    <x:col min="5" max="5" width="46" hidden="0" customWidth="1"/>
    <x:col min="6" max="6" width="51" hidden="0" customWidth="1"/>
    <x:col min="7" max="7" width="38" hidden="0" customWidth="1"/>
    <x:col min="8" max="8" width="27" hidden="0" customWidth="1"/>
    <x:col min="9" max="9" width="31" hidden="0" customWidth="1"/>
    <x:col min="10" max="10" width="43" hidden="0" customWidth="1"/>
    <x:col min="11" max="11" width="13" hidden="0" customWidth="1"/>
    <x:col min="12" max="12" width="14" hidden="0" customWidth="1"/>
    <x:col min="13" max="13" width="28" hidden="0" customWidth="1"/>
  </x:cols>
  <x:sheetData>
    <x:row r="1">
      <x:c r="A1" s="34"/>
    </x:row>
    <x:row r="2" ht="26" customHeight="1">
      <x:c r="A2" s="35" t="str">
        <x:v>Galle Face Hotel SRS Remaining Gaps Tracker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1" customHeight="1">
      <x:c r="A3" s="36" t="str">
        <x:v>Use this table to revise the SRS and record approvals. Close all P0 items before finalizing transactional development.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</x:row>
    <x:row r="4">
      <x:c r="A4" s="37" t="str">
        <x:v>Total gaps</x:v>
      </x:c>
      <x:c r="B4" s="17" t="n">
        <x:f>COUNTA(A10:A41)</x:f>
        <x:v>32</x:v>
      </x:c>
      <x:c r="C4" s="18" t="str">
        <x:v>P0 gaps</x:v>
      </x:c>
      <x:c r="D4" s="17" t="n">
        <x:f>COUNTIF(B10:B41,"P0")</x:f>
        <x:v>23</x:v>
      </x:c>
      <x:c r="E4" s="18" t="str">
        <x:v>Open gaps</x:v>
      </x:c>
      <x:c r="F4" s="17" t="n">
        <x:f>COUNTIF(K10:K41,"Open")</x:f>
        <x:v>32</x:v>
      </x:c>
      <x:c r="G4" s="18" t="str">
        <x:v>Build decision</x:v>
      </x:c>
      <x:c r="H4" s="19" t="str">
        <x:f>IF(COUNTIFS(B10:B41,"P0",K10:K41,"&lt;&gt;Closed")&gt;0,"NO - P0 items remain","YES - approved baseline")</x:f>
        <x:v>NO - P0 items remain</x:v>
      </x:c>
      <x:c r="I4" s="17"/>
    </x:row>
    <x:row r="5">
      <x:c r="A5" s="38"/>
      <x:c r="B5" s="8"/>
      <x:c r="C5" s="7"/>
      <x:c r="D5" s="8"/>
      <x:c r="E5" s="7"/>
      <x:c r="F5" s="8"/>
      <x:c r="G5" s="7"/>
      <x:c r="H5" s="10"/>
      <x:c r="I5" s="8"/>
    </x:row>
    <x:row r="6">
      <x:c r="A6" s="39" t="str">
        <x:v>Priority: P0 blocks the approved build baseline. P1 must be resolved before the affected module is accepted. P2 is document-quality cleanup.</x:v>
      </x:c>
      <x:c r="B6" s="21"/>
      <x:c r="C6" s="21"/>
      <x:c r="D6" s="21"/>
      <x:c r="E6" s="21"/>
      <x:c r="F6" s="21"/>
      <x:c r="G6" s="21"/>
      <x:c r="H6" s="21"/>
      <x:c r="I6" s="21"/>
      <x:c r="J6" s="21"/>
      <x:c r="K6" s="21"/>
      <x:c r="L6" s="21"/>
      <x:c r="M6" s="21"/>
    </x:row>
    <x:row r="7">
      <x:c r="A7" s="34"/>
    </x:row>
    <x:row r="8">
      <x:c r="A8" s="34"/>
    </x:row>
    <x:row r="9" ht="34" customHeight="1">
      <x:c r="A9" s="40" t="str">
        <x:v>Gap ID</x:v>
      </x:c>
      <x:c r="B9" s="27" t="str">
        <x:v>Priority</x:v>
      </x:c>
      <x:c r="C9" s="27" t="str">
        <x:v>Area</x:v>
      </x:c>
      <x:c r="D9" s="27" t="str">
        <x:v>SRS pages</x:v>
      </x:c>
      <x:c r="E9" s="27" t="str">
        <x:v>Current issue</x:v>
      </x:c>
      <x:c r="F9" s="27" t="str">
        <x:v>Required SRS update</x:v>
      </x:c>
      <x:c r="G9" s="27" t="str">
        <x:v>Decision or input needed</x:v>
      </x:c>
      <x:c r="H9" s="27" t="str">
        <x:v>Proposed owner</x:v>
      </x:c>
      <x:c r="I9" s="27" t="str">
        <x:v>Development blocked</x:v>
      </x:c>
      <x:c r="J9" s="27" t="str">
        <x:v>Acceptance condition</x:v>
      </x:c>
      <x:c r="K9" s="27" t="str">
        <x:v>Status</x:v>
      </x:c>
      <x:c r="L9" s="27" t="str">
        <x:v>Target date</x:v>
      </x:c>
      <x:c r="M9" s="27" t="str">
        <x:v>Notes</x:v>
      </x:c>
    </x:row>
    <x:row r="10" ht="72" customHeight="1">
      <x:c r="A10" s="31" t="str">
        <x:v>GAP-01</x:v>
      </x:c>
      <x:c r="B10" s="31" t="str">
        <x:v>P0</x:v>
      </x:c>
      <x:c r="C10" s="31" t="str">
        <x:v>Document control</x:v>
      </x:c>
      <x:c r="D10" s="31" t="str">
        <x:v>1-2</x:v>
      </x:c>
      <x:c r="E10" s="30" t="str">
        <x:v>The cover, revision table and document history show conflicting versions and dates. Owner, issue date and approvals are blank.</x:v>
      </x:c>
      <x:c r="F10" s="30" t="str">
        <x:v>Issue one controlled SRS version with document ID, version, issue date, owner, revision history and signed approvals.</x:v>
      </x:c>
      <x:c r="G10" s="30" t="str">
        <x:v>Confirm the authoritative version and approvers.</x:v>
      </x:c>
      <x:c r="H10" s="30" t="str">
        <x:v>Project Manager / SRS Author</x:v>
      </x:c>
      <x:c r="I10" s="30" t="str">
        <x:v>All final development commitments</x:v>
      </x:c>
      <x:c r="J10" s="30" t="str">
        <x:v>The approved document has one consistent version and completed approval records.</x:v>
      </x:c>
      <x:c r="K10" s="31" t="str">
        <x:v>Open</x:v>
      </x:c>
      <x:c r="L10" s="32" t="str"/>
      <x:c r="M10" s="31" t="str"/>
    </x:row>
    <x:row r="11" ht="72" customHeight="1">
      <x:c r="A11" s="31" t="str">
        <x:v>GAP-02</x:v>
      </x:c>
      <x:c r="B11" s="31" t="str">
        <x:v>P0</x:v>
      </x:c>
      <x:c r="C11" s="31" t="str">
        <x:v>Requirement traceability</x:v>
      </x:c>
      <x:c r="D11" s="31" t="str">
        <x:v>8 and all functional sections</x:v>
      </x:c>
      <x:c r="E11" s="30" t="str">
        <x:v>The SRS says every requirement has a unique ID and priority, but IDs restart at 01 and most requirements have no Must, Should or Could classification.</x:v>
      </x:c>
      <x:c r="F11" s="30" t="str">
        <x:v>Assign stable requirement IDs, priority, owner, source and acceptance criteria. Add a Requirements Traceability Matrix linking design and tests.</x:v>
      </x:c>
      <x:c r="G11" s="30" t="str">
        <x:v>Approve the priority model and traceability format.</x:v>
      </x:c>
      <x:c r="H11" s="30" t="str">
        <x:v>Business Analyst / QA Lead</x:v>
      </x:c>
      <x:c r="I11" s="30" t="str">
        <x:v>Scope control and UAT</x:v>
      </x:c>
      <x:c r="J11" s="30" t="str">
        <x:v>Every Must requirement maps to design, development, test evidence and approval.</x:v>
      </x:c>
      <x:c r="K11" s="31" t="str">
        <x:v>Open</x:v>
      </x:c>
      <x:c r="L11" s="32" t="str"/>
      <x:c r="M11" s="31" t="str"/>
    </x:row>
    <x:row r="12" ht="72" customHeight="1">
      <x:c r="A12" s="31" t="str">
        <x:v>GAP-03</x:v>
      </x:c>
      <x:c r="B12" s="31" t="str">
        <x:v>P0</x:v>
      </x:c>
      <x:c r="C12" s="31" t="str">
        <x:v>Deployment and tenancy</x:v>
      </x:c>
      <x:c r="D12" s="31" t="str">
        <x:v>6-7, 9, 14, 68 and 73</x:v>
      </x:c>
      <x:c r="E12" s="30" t="str">
        <x:v>The document alternates between a dedicated deployment and a shared multi-tenant platform. The current ProcureFlow baseline uses one Catalyst project per hotel group.</x:v>
      </x:c>
      <x:c r="F12" s="30" t="str">
        <x:v>Select and document one model: dedicated Catalyst project per group or shared multi-customer deployment. Define organization boundaries, isolation and support access accordingly.</x:v>
      </x:c>
      <x:c r="G12" s="30" t="str">
        <x:v>Architecture decision signed by client IT and implementation lead.</x:v>
      </x:c>
      <x:c r="H12" s="30" t="str">
        <x:v>Client IT / Solution Architect</x:v>
      </x:c>
      <x:c r="I12" s="30" t="str">
        <x:v>Data model, authentication and security</x:v>
      </x:c>
      <x:c r="J12" s="30" t="str">
        <x:v>Architecture section, diagrams and NFRs describe the same approved tenancy model.</x:v>
      </x:c>
      <x:c r="K12" s="31" t="str">
        <x:v>Open</x:v>
      </x:c>
      <x:c r="L12" s="32" t="str"/>
      <x:c r="M12" s="31" t="str"/>
    </x:row>
    <x:row r="13" ht="72" customHeight="1">
      <x:c r="A13" s="31" t="str">
        <x:v>GAP-04</x:v>
      </x:c>
      <x:c r="B13" s="31" t="str">
        <x:v>P0</x:v>
      </x:c>
      <x:c r="C13" s="31" t="str">
        <x:v>Organization structure</x:v>
      </x:c>
      <x:c r="D13" s="31" t="str">
        <x:v>6, 17-18 and 31-32</x:v>
      </x:c>
      <x:c r="E13" s="30" t="str">
        <x:v>Cluster, property, legal entity, department and tenant are used inconsistently, and ownership relationships are not formally defined.</x:v>
      </x:c>
      <x:c r="F13" s="30" t="str">
        <x:v>Define the hierarchy, required fields, effective dates, active status, legal-entity ownership and property-to-entity mapping.</x:v>
      </x:c>
      <x:c r="G13" s="30" t="str">
        <x:v>Approve the final property, cluster and legal-entity list.</x:v>
      </x:c>
      <x:c r="H13" s="30" t="str">
        <x:v>Finance / Procurement / Client IT</x:v>
      </x:c>
      <x:c r="I13" s="30" t="str">
        <x:v>Master data and access scope</x:v>
      </x:c>
      <x:c r="J13" s="30" t="str">
        <x:v>A controlled organization data model and approved opening list are attached to the SRS.</x:v>
      </x:c>
      <x:c r="K13" s="31" t="str">
        <x:v>Open</x:v>
      </x:c>
      <x:c r="L13" s="32" t="str"/>
      <x:c r="M13" s="31" t="str"/>
    </x:row>
    <x:row r="14" ht="72" customHeight="1">
      <x:c r="A14" s="31" t="str">
        <x:v>GAP-05</x:v>
      </x:c>
      <x:c r="B14" s="31" t="str">
        <x:v>P1</x:v>
      </x:c>
      <x:c r="C14" s="31" t="str">
        <x:v>Terminology and numbering</x:v>
      </x:c>
      <x:c r="D14" s="31" t="str">
        <x:v>3-5, 12-14, 51, 58 and 63</x:v>
      </x:c>
      <x:c r="E14" s="30" t="str">
        <x:v>Section numbers are duplicated or inconsistent, and terms such as vendor, supplier, tenant, cluster, bill and invoice are mixed.</x:v>
      </x:c>
      <x:c r="F14" s="30" t="str">
        <x:v>Renumber the SRS and add a terminology appendix with controlled names and definitions.</x:v>
      </x:c>
      <x:c r="G14" s="30" t="str">
        <x:v>Confirm preferred business terms.</x:v>
      </x:c>
      <x:c r="H14" s="30" t="str">
        <x:v>SRS Author</x:v>
      </x:c>
      <x:c r="I14" s="30" t="str">
        <x:v>Traceability and communication</x:v>
      </x:c>
      <x:c r="J14" s="30" t="str">
        <x:v>All headings, references and defined terms are unique and consistent.</x:v>
      </x:c>
      <x:c r="K14" s="31" t="str">
        <x:v>Open</x:v>
      </x:c>
      <x:c r="L14" s="32" t="str"/>
      <x:c r="M14" s="31" t="str"/>
    </x:row>
    <x:row r="15" ht="72" customHeight="1">
      <x:c r="A15" s="31" t="str">
        <x:v>GAP-06</x:v>
      </x:c>
      <x:c r="B15" s="31" t="str">
        <x:v>P0</x:v>
      </x:c>
      <x:c r="C15" s="31" t="str">
        <x:v>Expenditure categories</x:v>
      </x:c>
      <x:c r="D15" s="31" t="str">
        <x:v>21, 28, 32 and 73</x:v>
      </x:c>
      <x:c r="E15" s="30" t="str">
        <x:v>One section says three values but lists Capex, Opex, Repair and AMC. Other sections omit Repair or introduce Services.</x:v>
      </x:c>
      <x:c r="F15" s="30" t="str">
        <x:v>Approve one controlled category list and use it consistently in forms, workflows, document rules, budgets and reports.</x:v>
      </x:c>
      <x:c r="G15" s="30" t="str">
        <x:v>Decide whether Services is a category or a subtype and where AMC belongs.</x:v>
      </x:c>
      <x:c r="H15" s="30" t="str">
        <x:v>Procurement / Finance</x:v>
      </x:c>
      <x:c r="I15" s="30" t="str">
        <x:v>Forms, workflows, reports and document gates</x:v>
      </x:c>
      <x:c r="J15" s="30" t="str">
        <x:v>One enumeration is used throughout the SRS and data dictionary.</x:v>
      </x:c>
      <x:c r="K15" s="31" t="str">
        <x:v>Open</x:v>
      </x:c>
      <x:c r="L15" s="32" t="str"/>
      <x:c r="M15" s="31" t="str"/>
    </x:row>
    <x:row r="16" ht="72" customHeight="1">
      <x:c r="A16" s="31" t="str">
        <x:v>GAP-07</x:v>
      </x:c>
      <x:c r="B16" s="31" t="str">
        <x:v>P0</x:v>
      </x:c>
      <x:c r="C16" s="31" t="str">
        <x:v>Budget status calculation</x:v>
      </x:c>
      <x:c r="D16" s="31" t="str">
        <x:v>21-22, 58 and 62</x:v>
      </x:c>
      <x:c r="E16" s="30" t="str">
        <x:v>Requesters can select Budgeted or Non-Budgeted, while later sections say the system calculates Within Budget or Non-Budgeted. Exceeds Budget is not consistently represented.</x:v>
      </x:c>
      <x:c r="F16" s="30" t="str">
        <x:v>Make budget status server-calculated. Define Within Budget, Not Budgeted and Exceeds Budget inputs, messages and workflow consequences.</x:v>
      </x:c>
      <x:c r="G16" s="30" t="str">
        <x:v>Approve the controlled budget-status values.</x:v>
      </x:c>
      <x:c r="H16" s="30" t="str">
        <x:v>Finance / Solution Architect</x:v>
      </x:c>
      <x:c r="I16" s="30" t="str">
        <x:v>PR submission and approval routing</x:v>
      </x:c>
      <x:c r="J16" s="30" t="str">
        <x:v>Boundary tests prove each status at no budget, exact balance and exceeded balance.</x:v>
      </x:c>
      <x:c r="K16" s="31" t="str">
        <x:v>Open</x:v>
      </x:c>
      <x:c r="L16" s="32" t="str"/>
      <x:c r="M16" s="31" t="str"/>
    </x:row>
    <x:row r="17" ht="72" customHeight="1">
      <x:c r="A17" s="31" t="str">
        <x:v>GAP-08</x:v>
      </x:c>
      <x:c r="B17" s="31" t="str">
        <x:v>P0</x:v>
      </x:c>
      <x:c r="C17" s="31" t="str">
        <x:v>Budget ledger lifecycle</x:v>
      </x:c>
      <x:c r="D17" s="31" t="str">
        <x:v>58-62</x:v>
      </x:c>
      <x:c r="E17" s="30" t="str">
        <x:v>The SRS does not define when spend is reserved, committed, released, converted to actual or reversed. It could double-count PR, PO and invoice amounts.</x:v>
      </x:c>
      <x:c r="F17" s="30" t="str">
        <x:v>Define the budget ledger, transaction timing, concurrent-spend protection, transfers, adjustments, cancellations, reversals and financial reconciliation.</x:v>
      </x:c>
      <x:c r="G17" s="30" t="str">
        <x:v>Approve whether commitment occurs at submission, approval or PO issue.</x:v>
      </x:c>
      <x:c r="H17" s="30" t="str">
        <x:v>Finance</x:v>
      </x:c>
      <x:c r="I17" s="30" t="str">
        <x:v>Budget engine and financial reports</x:v>
      </x:c>
      <x:c r="J17" s="30" t="str">
        <x:v>A complete ledger example reconciles approved, committed, actual and available balances.</x:v>
      </x:c>
      <x:c r="K17" s="31" t="str">
        <x:v>Open</x:v>
      </x:c>
      <x:c r="L17" s="32" t="str"/>
      <x:c r="M17" s="31" t="str"/>
    </x:row>
    <x:row r="18" ht="72" customHeight="1">
      <x:c r="A18" s="31" t="str">
        <x:v>GAP-09</x:v>
      </x:c>
      <x:c r="B18" s="31" t="str">
        <x:v>P0</x:v>
      </x:c>
      <x:c r="C18" s="31" t="str">
        <x:v>Approval authority matrix</x:v>
      </x:c>
      <x:c r="D18" s="31" t="str">
        <x:v>29-32</x:v>
      </x:c>
      <x:c r="E18" s="30" t="str">
        <x:v>A fixed budgeted route conflicts with CAPEX, OPEX and Repair examples and entity-specific thresholds.</x:v>
      </x:c>
      <x:c r="F18" s="30" t="str">
        <x:v>Replace narrative routes with one versioned authority matrix by category, budget result, value band, legal entity, property and exception type.</x:v>
      </x:c>
      <x:c r="G18" s="30" t="str">
        <x:v>Provide named roles, thresholds and final authorizers.</x:v>
      </x:c>
      <x:c r="H18" s="30" t="str">
        <x:v>Executive Sponsor / Finance / Procurement</x:v>
      </x:c>
      <x:c r="I18" s="30" t="str">
        <x:v>Approval engine</x:v>
      </x:c>
      <x:c r="J18" s="30" t="str">
        <x:v>Every route variant has an approved test case and named business owner.</x:v>
      </x:c>
      <x:c r="K18" s="31" t="str">
        <x:v>Open</x:v>
      </x:c>
      <x:c r="L18" s="32" t="str"/>
      <x:c r="M18" s="31" t="str"/>
    </x:row>
    <x:row r="19" ht="72" customHeight="1">
      <x:c r="A19" s="31" t="str">
        <x:v>GAP-10</x:v>
      </x:c>
      <x:c r="B19" s="31" t="str">
        <x:v>P0</x:v>
      </x:c>
      <x:c r="C19" s="31" t="str">
        <x:v>Approval exceptions</x:v>
      </x:c>
      <x:c r="D19" s="31" t="str">
        <x:v>29-32</x:v>
      </x:c>
      <x:c r="E19" s="30" t="str">
        <x:v>Delegation, vacant roles, absence, escalation, rejection, recall, resubmission, self-approval and workflow changes during an in-flight request are incomplete.</x:v>
      </x:c>
      <x:c r="F19" s="30" t="str">
        <x:v>Define allowed actions, prerequisites, comments, evidence, timeouts, segregation of duties and workflow-version snapshot rules.</x:v>
      </x:c>
      <x:c r="G19" s="30" t="str">
        <x:v>Approve exception behavior for every approval stage.</x:v>
      </x:c>
      <x:c r="H19" s="30" t="str">
        <x:v>Finance / Procurement / Internal Audit</x:v>
      </x:c>
      <x:c r="I19" s="30" t="str">
        <x:v>Approval engine and audit</x:v>
      </x:c>
      <x:c r="J19" s="30" t="str">
        <x:v>A status-transition matrix covers normal and exceptional approval paths.</x:v>
      </x:c>
      <x:c r="K19" s="31" t="str">
        <x:v>Open</x:v>
      </x:c>
      <x:c r="L19" s="32" t="str"/>
      <x:c r="M19" s="31" t="str"/>
    </x:row>
    <x:row r="20" ht="72" customHeight="1">
      <x:c r="A20" s="31" t="str">
        <x:v>GAP-11</x:v>
      </x:c>
      <x:c r="B20" s="31" t="str">
        <x:v>P0</x:v>
      </x:c>
      <x:c r="C20" s="31" t="str">
        <x:v>RFQ and direct purchase</x:v>
      </x:c>
      <x:c r="D20" s="31" t="str">
        <x:v>7, 28-29 and 41</x:v>
      </x:c>
      <x:c r="E20" s="30" t="str">
        <x:v>RFQ is described as optional, but later every approved PR is converted to RFQ and a PO requires an award.</x:v>
      </x:c>
      <x:c r="F20" s="30" t="str">
        <x:v>Define standard sourcing and exception routes for direct purchase, emergency purchase, contract call-off, sole source and low-value purchase.</x:v>
      </x:c>
      <x:c r="G20" s="30" t="str">
        <x:v>Approve evidence and authority required for each exception.</x:v>
      </x:c>
      <x:c r="H20" s="30" t="str">
        <x:v>Procurement / Finance</x:v>
      </x:c>
      <x:c r="I20" s="30" t="str">
        <x:v>PR-to-PO workflow</x:v>
      </x:c>
      <x:c r="J20" s="30" t="str">
        <x:v>Every PO can be traced to an awarded RFQ or an approved exception route.</x:v>
      </x:c>
      <x:c r="K20" s="31" t="str">
        <x:v>Open</x:v>
      </x:c>
      <x:c r="L20" s="32" t="str"/>
      <x:c r="M20" s="31" t="str"/>
    </x:row>
    <x:row r="21" ht="72" customHeight="1">
      <x:c r="A21" s="31" t="str">
        <x:v>GAP-12</x:v>
      </x:c>
      <x:c r="B21" s="31" t="str">
        <x:v>P0</x:v>
      </x:c>
      <x:c r="C21" s="31" t="str">
        <x:v>Sealed bids</x:v>
      </x:c>
      <x:c r="D21" s="31" t="str">
        <x:v>7, 34 and 42-43</x:v>
      </x:c>
      <x:c r="E21" s="30" t="str">
        <x:v>The scope promises sealed bids, while procurement can view bids and negotiate before the RFQ closes.</x:v>
      </x:c>
      <x:c r="F21" s="30" t="str">
        <x:v>Define bid encryption or access control, opening date and time, authorized opening roles, audit events, late bids and post-opening negotiation rules.</x:v>
      </x:c>
      <x:c r="G21" s="30" t="str">
        <x:v>Choose the approved bid-opening model.</x:v>
      </x:c>
      <x:c r="H21" s="30" t="str">
        <x:v>Procurement Committee / Internal Audit</x:v>
      </x:c>
      <x:c r="I21" s="30" t="str">
        <x:v>RFQ and bid management</x:v>
      </x:c>
      <x:c r="J21" s="30" t="str">
        <x:v>Tests prove bid contents cannot be viewed before the authorized opening event.</x:v>
      </x:c>
      <x:c r="K21" s="31" t="str">
        <x:v>Open</x:v>
      </x:c>
      <x:c r="L21" s="32" t="str"/>
      <x:c r="M21" s="31" t="str"/>
    </x:row>
    <x:row r="22" ht="72" customHeight="1">
      <x:c r="A22" s="31" t="str">
        <x:v>GAP-13</x:v>
      </x:c>
      <x:c r="B22" s="31" t="str">
        <x:v>P1</x:v>
      </x:c>
      <x:c r="C22" s="31" t="str">
        <x:v>RFQ lifecycle</x:v>
      </x:c>
      <x:c r="D22" s="31" t="str">
        <x:v>33-43</x:v>
      </x:c>
      <x:c r="E22" s="30" t="str">
        <x:v>RFQ amendments, clarification questions, deadline extensions, timezone, cancellation after publication and submitted-bid version retention are incomplete.</x:v>
      </x:c>
      <x:c r="F22" s="30" t="str">
        <x:v>Add formal RFQ and bid state machines with permitted actions, notifications and audit requirements.</x:v>
      </x:c>
      <x:c r="G22" s="30" t="str">
        <x:v>Approve the official sourcing states and deadline timezone.</x:v>
      </x:c>
      <x:c r="H22" s="30" t="str">
        <x:v>Procurement</x:v>
      </x:c>
      <x:c r="I22" s="30" t="str">
        <x:v>RFQ workflow</x:v>
      </x:c>
      <x:c r="J22" s="30" t="str">
        <x:v>State diagrams and acceptance tests cover publication through award or cancellation.</x:v>
      </x:c>
      <x:c r="K22" s="31" t="str">
        <x:v>Open</x:v>
      </x:c>
      <x:c r="L22" s="32" t="str"/>
      <x:c r="M22" s="31" t="str"/>
    </x:row>
    <x:row r="23" ht="72" customHeight="1">
      <x:c r="A23" s="31" t="str">
        <x:v>GAP-14</x:v>
      </x:c>
      <x:c r="B23" s="31" t="str">
        <x:v>P0</x:v>
      </x:c>
      <x:c r="C23" s="31" t="str">
        <x:v>Required-document matrix</x:v>
      </x:c>
      <x:c r="D23" s="31" t="str">
        <x:v>32, 35, 41 and 48-50</x:v>
      </x:c>
      <x:c r="E23" s="30" t="str">
        <x:v>Document gates have improved, but categories are inconsistent and waiver, version, retention, file security and visibility rules are missing.</x:v>
      </x:c>
      <x:c r="F23" s="30" t="str">
        <x:v>Create a matrix by stage, category, legal entity and value band. Define allowed types, sizes, waiver authority, retention, malware scanning and access.</x:v>
      </x:c>
      <x:c r="G23" s="30" t="str">
        <x:v>Approve mandatory, conditional and waivable documents.</x:v>
      </x:c>
      <x:c r="H23" s="30" t="str">
        <x:v>Procurement / Finance / Legal / Security</x:v>
      </x:c>
      <x:c r="I23" s="30" t="str">
        <x:v>PR, RFQ, award, PO, receipt and invoice gates</x:v>
      </x:c>
      <x:c r="J23" s="30" t="str">
        <x:v>Each missing document blocks the correct transition and every waiver is authorized and audited.</x:v>
      </x:c>
      <x:c r="K23" s="31" t="str">
        <x:v>Open</x:v>
      </x:c>
      <x:c r="L23" s="32" t="str"/>
      <x:c r="M23" s="31" t="str"/>
    </x:row>
    <x:row r="24" ht="72" customHeight="1">
      <x:c r="A24" s="31" t="str">
        <x:v>GAP-15</x:v>
      </x:c>
      <x:c r="B24" s="31" t="str">
        <x:v>P0</x:v>
      </x:c>
      <x:c r="C24" s="31" t="str">
        <x:v>Supplier onboarding lifecycle</x:v>
      </x:c>
      <x:c r="D24" s="31" t="str">
        <x:v>35-40</x:v>
      </x:c>
      <x:c r="E24" s="30" t="str">
        <x:v>Registration and SCM/Finance review are defined, but more-information requests, resubmission, rejection, suspension, blacklisting, expiry and duplicate detection are missing.</x:v>
      </x:c>
      <x:c r="F24" s="30" t="str">
        <x:v>Define complete supplier states, reviewer actions, resubmission rules, compliance-expiry alerts and activation prerequisites.</x:v>
      </x:c>
      <x:c r="G24" s="30" t="str">
        <x:v>Approve reviewer roles and supplier-status meanings.</x:v>
      </x:c>
      <x:c r="H24" s="30" t="str">
        <x:v>Supply Chain / Finance / Compliance</x:v>
      </x:c>
      <x:c r="I24" s="30" t="str">
        <x:v>Supplier onboarding and portal access</x:v>
      </x:c>
      <x:c r="J24" s="30" t="str">
        <x:v>The state machine covers invitation through activation, suspension or rejection.</x:v>
      </x:c>
      <x:c r="K24" s="31" t="str">
        <x:v>Open</x:v>
      </x:c>
      <x:c r="L24" s="32" t="str"/>
      <x:c r="M24" s="31" t="str"/>
    </x:row>
    <x:row r="25" ht="72" customHeight="1">
      <x:c r="A25" s="31" t="str">
        <x:v>GAP-16</x:v>
      </x:c>
      <x:c r="B25" s="31" t="str">
        <x:v>P0</x:v>
      </x:c>
      <x:c r="C25" s="31" t="str">
        <x:v>Supplier credentials and bank changes</x:v>
      </x:c>
      <x:c r="D25" s="31" t="str">
        <x:v>37-39 and 69-70</x:v>
      </x:c>
      <x:c r="E25" s="30" t="str">
        <x:v>The SRS says login credentials are emailed and bank data supports EFT, but secure activation and bank-change controls are not defined.</x:v>
      </x:c>
      <x:c r="F25" s="30" t="str">
        <x:v>Use single-use activation links instead of emailed passwords. Define bank-data masking, verification, change approval, dual control and audit notifications.</x:v>
      </x:c>
      <x:c r="G25" s="30" t="str">
        <x:v>Approve authentication and bank-change policy.</x:v>
      </x:c>
      <x:c r="H25" s="30" t="str">
        <x:v>Client IT / Finance / Security</x:v>
      </x:c>
      <x:c r="I25" s="30" t="str">
        <x:v>Supplier security and payments</x:v>
      </x:c>
      <x:c r="J25" s="30" t="str">
        <x:v>No password is transmitted, and bank changes require verified authorization and audit evidence.</x:v>
      </x:c>
      <x:c r="K25" s="31" t="str">
        <x:v>Open</x:v>
      </x:c>
      <x:c r="L25" s="32" t="str"/>
      <x:c r="M25" s="31" t="str"/>
    </x:row>
    <x:row r="26" ht="72" customHeight="1">
      <x:c r="A26" s="31" t="str">
        <x:v>GAP-17</x:v>
      </x:c>
      <x:c r="B26" s="31" t="str">
        <x:v>P0</x:v>
      </x:c>
      <x:c r="C26" s="31" t="str">
        <x:v>Purchase-order state machine</x:v>
      </x:c>
      <x:c r="D26" s="31" t="str">
        <x:v>41, 43 and 48-51</x:v>
      </x:c>
      <x:c r="E26" s="30" t="str">
        <x:v>PO states include issued, sent, accepted, rejected, partially delivered and fulfilled, but the formal lifecycle only shows Sent to Supplier to Fulfilled.</x:v>
      </x:c>
      <x:c r="F26" s="30" t="str">
        <x:v>Define all PO states and allowed actions for issue, acknowledgement, rejection, amendment, cancellation, receipt, alternate award and closure.</x:v>
      </x:c>
      <x:c r="G26" s="30" t="str">
        <x:v>Approve the business owner for each transition.</x:v>
      </x:c>
      <x:c r="H26" s="30" t="str">
        <x:v>Procurement / Stores / Finance</x:v>
      </x:c>
      <x:c r="I26" s="30" t="str">
        <x:v>PO issue and supplier acknowledgement</x:v>
      </x:c>
      <x:c r="J26" s="30" t="str">
        <x:v>A transition matrix prevents invalid or irreversible state changes.</x:v>
      </x:c>
      <x:c r="K26" s="31" t="str">
        <x:v>Open</x:v>
      </x:c>
      <x:c r="L26" s="32" t="str"/>
      <x:c r="M26" s="31" t="str"/>
    </x:row>
    <x:row r="27" ht="72" customHeight="1">
      <x:c r="A27" s="31" t="str">
        <x:v>GAP-18</x:v>
      </x:c>
      <x:c r="B27" s="31" t="str">
        <x:v>P0</x:v>
      </x:c>
      <x:c r="C27" s="31" t="str">
        <x:v>Receipt and fulfillment</x:v>
      </x:c>
      <x:c r="D27" s="31" t="str">
        <x:v>49-51</x:v>
      </x:c>
      <x:c r="E27" s="30" t="str">
        <x:v>A partial receipt can refer to a Fulfilled PO. Rejected quantities may count toward Fulfilled even though they cannot be invoiced.</x:v>
      </x:c>
      <x:c r="F27" s="30" t="str">
        <x:v>Add Partially Received, Received With Exception, Fulfilled and Short Closed rules. Define replacement deliveries, over-receipt tolerance, reversals and SES behavior for services.</x:v>
      </x:c>
      <x:c r="G27" s="30" t="str">
        <x:v>Decide whether fulfillment requires accepted quantity or an authorized short close.</x:v>
      </x:c>
      <x:c r="H27" s="30" t="str">
        <x:v>Stores / Procurement / Finance</x:v>
      </x:c>
      <x:c r="I27" s="30" t="str">
        <x:v>GRN, SES, PO status and matching</x:v>
      </x:c>
      <x:c r="J27" s="30" t="str">
        <x:v>Partial, rejected, replaced, over-received and short-closed scenarios produce the approved statuses.</x:v>
      </x:c>
      <x:c r="K27" s="31" t="str">
        <x:v>Open</x:v>
      </x:c>
      <x:c r="L27" s="32" t="str"/>
      <x:c r="M27" s="31" t="str"/>
    </x:row>
    <x:row r="28" ht="72" customHeight="1">
      <x:c r="A28" s="31" t="str">
        <x:v>GAP-19</x:v>
      </x:c>
      <x:c r="B28" s="31" t="str">
        <x:v>P0</x:v>
      </x:c>
      <x:c r="C28" s="31" t="str">
        <x:v>Invoice matching</x:v>
      </x:c>
      <x:c r="D28" s="31" t="str">
        <x:v>52-57</x:v>
      </x:c>
      <x:c r="E28" s="30" t="str">
        <x:v>Invoice lines are defined, but tolerances, duplicate detection, partial invoices, multiple receipts, multiple invoices, freight, discounts and tax matching are incomplete.</x:v>
      </x:c>
      <x:c r="F28" s="30" t="str">
        <x:v>Define line-level match calculations, cumulative quantities, tolerance configuration, discrepancy reasons, rematch and authorized override evidence.</x:v>
      </x:c>
      <x:c r="G28" s="30" t="str">
        <x:v>Approve tolerance values and override authority.</x:v>
      </x:c>
      <x:c r="H28" s="30" t="str">
        <x:v>Finance / Procurement</x:v>
      </x:c>
      <x:c r="I28" s="30" t="str">
        <x:v>Invoice and payment control</x:v>
      </x:c>
      <x:c r="J28" s="30" t="str">
        <x:v>Line-level test cases reconcile PO, GRN or SES, invoice and credits without overbilling.</x:v>
      </x:c>
      <x:c r="K28" s="31" t="str">
        <x:v>Open</x:v>
      </x:c>
      <x:c r="L28" s="32" t="str"/>
      <x:c r="M28" s="31" t="str"/>
    </x:row>
    <x:row r="29" ht="72" customHeight="1">
      <x:c r="A29" s="31" t="str">
        <x:v>GAP-20</x:v>
      </x:c>
      <x:c r="B29" s="31" t="str">
        <x:v>P1</x:v>
      </x:c>
      <x:c r="C29" s="31" t="str">
        <x:v>Invoice formats and tax</x:v>
      </x:c>
      <x:c r="D29" s="31" t="str">
        <x:v>52-54 and 64</x:v>
      </x:c>
      <x:c r="E29" s="30" t="str">
        <x:v>The SRS imposes one supplier invoice-number pattern, uses MM/DD/YYYY and hard-codes 18 percent VAT while tax settings are configurable.</x:v>
      </x:c>
      <x:c r="F29" s="30" t="str">
        <x:v>Store supplier references as issued, define duplicate keys, use ISO dates internally, approve display format and make tax rates effective-dated configuration.</x:v>
      </x:c>
      <x:c r="G29" s="30" t="str">
        <x:v>Confirm legal tax and invoice-format requirements.</x:v>
      </x:c>
      <x:c r="H29" s="30" t="str">
        <x:v>Finance / Tax Advisor</x:v>
      </x:c>
      <x:c r="I29" s="30" t="str">
        <x:v>Invoice validation</x:v>
      </x:c>
      <x:c r="J29" s="30" t="str">
        <x:v>Valid supplier invoices are accepted without forcing an invented number, date or tax format.</x:v>
      </x:c>
      <x:c r="K29" s="31" t="str">
        <x:v>Open</x:v>
      </x:c>
      <x:c r="L29" s="32" t="str"/>
      <x:c r="M29" s="31" t="str"/>
    </x:row>
    <x:row r="30" ht="72" customHeight="1">
      <x:c r="A30" s="31" t="str">
        <x:v>GAP-21</x:v>
      </x:c>
      <x:c r="B30" s="31" t="str">
        <x:v>P0</x:v>
      </x:c>
      <x:c r="C30" s="31" t="str">
        <x:v>Payment boundary</x:v>
      </x:c>
      <x:c r="D30" s="31" t="str">
        <x:v>52-57</x:v>
      </x:c>
      <x:c r="E30" s="30" t="str">
        <x:v>The SRS mixes recording an externally executed payment with initiating electronic payment. Partial payment, authorization, failure, reversal and reconciliation rules are incomplete.</x:v>
      </x:c>
      <x:c r="F30" s="30" t="str">
        <x:v>Choose Release 1 scope. If recording only, define balances and approvals. If bank initiation is included, add beneficiary verification, dual authorization, responses, failures and reconciliation.</x:v>
      </x:c>
      <x:c r="G30" s="30" t="str">
        <x:v>Treasury must confirm payment execution scope and provider.</x:v>
      </x:c>
      <x:c r="H30" s="30" t="str">
        <x:v>Treasury / Finance / Client IT</x:v>
      </x:c>
      <x:c r="I30" s="30" t="str">
        <x:v>Payments and bank integration</x:v>
      </x:c>
      <x:c r="J30" s="30" t="str">
        <x:v>Payment tests cover partial, full, overpayment, discrepancy block, override, reversal and reconciliation.</x:v>
      </x:c>
      <x:c r="K30" s="31" t="str">
        <x:v>Open</x:v>
      </x:c>
      <x:c r="L30" s="32" t="str"/>
      <x:c r="M30" s="31" t="str"/>
    </x:row>
    <x:row r="31" ht="72" customHeight="1">
      <x:c r="A31" s="31" t="str">
        <x:v>GAP-22</x:v>
      </x:c>
      <x:c r="B31" s="31" t="str">
        <x:v>P0</x:v>
      </x:c>
      <x:c r="C31" s="31" t="str">
        <x:v>Integrations</x:v>
      </x:c>
      <x:c r="D31" s="31" t="str">
        <x:v>39, 63-64 and 73</x:v>
      </x:c>
      <x:c r="E31" s="30" t="str">
        <x:v>Zoho Books, WhatsApp, email and webhooks lack interface contracts, field mappings, source of truth, triggers, retry, replay, reconciliation and ownership.</x:v>
      </x:c>
      <x:c r="F31" s="30" t="str">
        <x:v>Add one specification per integration covering authentication, mappings, idempotency, errors, monitoring, disconnect behavior and support ownership.</x:v>
      </x:c>
      <x:c r="G31" s="30" t="str">
        <x:v>Confirm which integrations are mandatory for first release.</x:v>
      </x:c>
      <x:c r="H31" s="30" t="str">
        <x:v>Client IT / Finance / Implementation Lead</x:v>
      </x:c>
      <x:c r="I31" s="30" t="str">
        <x:v>External integrations</x:v>
      </x:c>
      <x:c r="J31" s="30" t="str">
        <x:v>Success, duplicate, timeout, rejected payload and replay tests reconcile correctly.</x:v>
      </x:c>
      <x:c r="K31" s="31" t="str">
        <x:v>Open</x:v>
      </x:c>
      <x:c r="L31" s="32" t="str"/>
      <x:c r="M31" s="31" t="str"/>
    </x:row>
    <x:row r="32" ht="72" customHeight="1">
      <x:c r="A32" s="31" t="str">
        <x:v>GAP-23</x:v>
      </x:c>
      <x:c r="B32" s="31" t="str">
        <x:v>P0</x:v>
      </x:c>
      <x:c r="C32" s="31" t="str">
        <x:v>Availability, performance and capacity</x:v>
      </x:c>
      <x:c r="D32" s="31" t="str">
        <x:v>13-14 and 68-71</x:v>
      </x:c>
      <x:c r="E32" s="30" t="str">
        <x:v>The SRS has device assumptions but no measurable availability, response-time, load, concurrency or transaction-volume targets.</x:v>
      </x:c>
      <x:c r="F32" s="30" t="str">
        <x:v>State supported browsers and devices, named-user and concurrent-user volumes, annual transaction volumes, response targets and monthly availability target.</x:v>
      </x:c>
      <x:c r="G32" s="30" t="str">
        <x:v>Provide expected usage and approved service levels.</x:v>
      </x:c>
      <x:c r="H32" s="30" t="str">
        <x:v>Client IT / Business Owner</x:v>
      </x:c>
      <x:c r="I32" s="30" t="str">
        <x:v>Architecture, testing and sizing</x:v>
      </x:c>
      <x:c r="J32" s="30" t="str">
        <x:v>Performance and availability tests have measurable pass conditions.</x:v>
      </x:c>
      <x:c r="K32" s="31" t="str">
        <x:v>Open</x:v>
      </x:c>
      <x:c r="L32" s="32" t="str"/>
      <x:c r="M32" s="31" t="str"/>
    </x:row>
    <x:row r="33" ht="72" customHeight="1">
      <x:c r="A33" s="31" t="str">
        <x:v>GAP-24</x:v>
      </x:c>
      <x:c r="B33" s="31" t="str">
        <x:v>P0</x:v>
      </x:c>
      <x:c r="C33" s="31" t="str">
        <x:v>Recovery, retention and monitoring</x:v>
      </x:c>
      <x:c r="D33" s="31" t="str">
        <x:v>68-71</x:v>
      </x:c>
      <x:c r="E33" s="30" t="str">
        <x:v>Backup cadence, retention, restore ownership, RPO, RTO, disaster recovery, monitoring, alerts and log retention are not defined.</x:v>
      </x:c>
      <x:c r="F33" s="30" t="str">
        <x:v>Add backup and restore requirements, RPO, RTO, restore testing, monitoring, alert ownership, audit retention and incident escalation.</x:v>
      </x:c>
      <x:c r="G33" s="30" t="str">
        <x:v>Approve recovery and retention targets.</x:v>
      </x:c>
      <x:c r="H33" s="30" t="str">
        <x:v>Client IT / Security / Operations</x:v>
      </x:c>
      <x:c r="I33" s="30" t="str">
        <x:v>Production operations</x:v>
      </x:c>
      <x:c r="J33" s="30" t="str">
        <x:v>A documented restore test meets the approved RPO and RTO before go-live.</x:v>
      </x:c>
      <x:c r="K33" s="31" t="str">
        <x:v>Open</x:v>
      </x:c>
      <x:c r="L33" s="32" t="str"/>
      <x:c r="M33" s="31" t="str"/>
    </x:row>
    <x:row r="34" ht="72" customHeight="1">
      <x:c r="A34" s="31" t="str">
        <x:v>GAP-25</x:v>
      </x:c>
      <x:c r="B34" s="31" t="str">
        <x:v>P1</x:v>
      </x:c>
      <x:c r="C34" s="31" t="str">
        <x:v>Identity, privacy and security</x:v>
      </x:c>
      <x:c r="D34" s="31" t="str">
        <x:v>68-71</x:v>
      </x:c>
      <x:c r="E34" s="30" t="str">
        <x:v>Server-side controls are described, but employee MFA or SSO, session duration, inactive-user handling, privacy obligations and sensitive-data retention remain undecided.</x:v>
      </x:c>
      <x:c r="F34" s="30" t="str">
        <x:v>Define internal identity policy, supplier-session policy, privacy classifications, permitted uses, retention, export, correction and deletion responsibilities.</x:v>
      </x:c>
      <x:c r="G34" s="30" t="str">
        <x:v>Confirm MFA, SSO and privacy requirements.</x:v>
      </x:c>
      <x:c r="H34" s="30" t="str">
        <x:v>Client IT / Security / Legal</x:v>
      </x:c>
      <x:c r="I34" s="30" t="str">
        <x:v>Authentication and data protection</x:v>
      </x:c>
      <x:c r="J34" s="30" t="str">
        <x:v>Security tests and policy evidence cover every approved control.</x:v>
      </x:c>
      <x:c r="K34" s="31" t="str">
        <x:v>Open</x:v>
      </x:c>
      <x:c r="L34" s="32" t="str"/>
      <x:c r="M34" s="31" t="str"/>
    </x:row>
    <x:row r="35" ht="72" customHeight="1">
      <x:c r="A35" s="31" t="str">
        <x:v>GAP-26</x:v>
      </x:c>
      <x:c r="B35" s="31" t="str">
        <x:v>P1</x:v>
      </x:c>
      <x:c r="C35" s="31" t="str">
        <x:v>Reports and reconciliation</x:v>
      </x:c>
      <x:c r="D35" s="31" t="str">
        <x:v>16-19 and 73</x:v>
      </x:c>
      <x:c r="E35" s="30" t="str">
        <x:v>Dashboards and reports are named generally, but columns, formulas, filters, drill-down, export, access scope, freshness and reconciliation are absent.</x:v>
      </x:c>
      <x:c r="F35" s="30" t="str">
        <x:v>Create an approved report catalogue with calculation definitions and reconciliation sources.</x:v>
      </x:c>
      <x:c r="G35" s="30" t="str">
        <x:v>Prioritize first-release reports and report owners.</x:v>
      </x:c>
      <x:c r="H35" s="30" t="str">
        <x:v>Finance / Procurement / Management</x:v>
      </x:c>
      <x:c r="I35" s="30" t="str">
        <x:v>Reporting and analytics</x:v>
      </x:c>
      <x:c r="J35" s="30" t="str">
        <x:v>Each financial report reconciles to controlled source transactions.</x:v>
      </x:c>
      <x:c r="K35" s="31" t="str">
        <x:v>Open</x:v>
      </x:c>
      <x:c r="L35" s="32" t="str"/>
      <x:c r="M35" s="31" t="str"/>
    </x:row>
    <x:row r="36" ht="72" customHeight="1">
      <x:c r="A36" s="31" t="str">
        <x:v>GAP-27</x:v>
      </x:c>
      <x:c r="B36" s="31" t="str">
        <x:v>P0</x:v>
      </x:c>
      <x:c r="C36" s="31" t="str">
        <x:v>Data migration</x:v>
      </x:c>
      <x:c r="D36" s="31" t="str">
        <x:v>Not specified</x:v>
      </x:c>
      <x:c r="E36" s="30" t="str">
        <x:v>The SRS does not define source files, cleansing, mappings, opening transactions, duplicate handling, mock loads, cutover or rollback.</x:v>
      </x:c>
      <x:c r="F36" s="30" t="str">
        <x:v>Add a migration specification for users, organization data, items, suppliers, budgets, documents and open transactions, including reconciliation and sign-off.</x:v>
      </x:c>
      <x:c r="G36" s="30" t="str">
        <x:v>Provide source owners, extracts and opening-balance scope.</x:v>
      </x:c>
      <x:c r="H36" s="30" t="str">
        <x:v>Client Data Owners / Implementation Lead</x:v>
      </x:c>
      <x:c r="I36" s="30" t="str">
        <x:v>Production readiness</x:v>
      </x:c>
      <x:c r="J36" s="30" t="str">
        <x:v>At least one mock load and final reconciliation are approved before cutover.</x:v>
      </x:c>
      <x:c r="K36" s="31" t="str">
        <x:v>Open</x:v>
      </x:c>
      <x:c r="L36" s="32" t="str"/>
      <x:c r="M36" s="31" t="str"/>
    </x:row>
    <x:row r="37" ht="72" customHeight="1">
      <x:c r="A37" s="31" t="str">
        <x:v>GAP-28</x:v>
      </x:c>
      <x:c r="B37" s="31" t="str">
        <x:v>P1</x:v>
      </x:c>
      <x:c r="C37" s="31" t="str">
        <x:v>Operational readiness</x:v>
      </x:c>
      <x:c r="D37" s="31" t="str">
        <x:v>Not specified</x:v>
      </x:c>
      <x:c r="E37" s="30" t="str">
        <x:v>Deployment environments, release approval, rollback, monitoring, training, support, incident response and hypercare are not defined.</x:v>
      </x:c>
      <x:c r="F37" s="30" t="str">
        <x:v>Add an operational-readiness section with environment inventory, runbooks, support model, training and go-live exit criteria.</x:v>
      </x:c>
      <x:c r="G37" s="30" t="str">
        <x:v>Name service owners and escalation contacts.</x:v>
      </x:c>
      <x:c r="H37" s="30" t="str">
        <x:v>Client IT / Implementation Lead</x:v>
      </x:c>
      <x:c r="I37" s="30" t="str">
        <x:v>Go-live and support</x:v>
      </x:c>
      <x:c r="J37" s="30" t="str">
        <x:v>All operational deliverables are tested and handed over before production approval.</x:v>
      </x:c>
      <x:c r="K37" s="31" t="str">
        <x:v>Open</x:v>
      </x:c>
      <x:c r="L37" s="32" t="str"/>
      <x:c r="M37" s="31" t="str"/>
    </x:row>
    <x:row r="38" ht="72" customHeight="1">
      <x:c r="A38" s="31" t="str">
        <x:v>GAP-29</x:v>
      </x:c>
      <x:c r="B38" s="31" t="str">
        <x:v>P0</x:v>
      </x:c>
      <x:c r="C38" s="31" t="str">
        <x:v>Acceptance and UAT</x:v>
      </x:c>
      <x:c r="D38" s="31" t="str">
        <x:v>All sections</x:v>
      </x:c>
      <x:c r="E38" s="30" t="str">
        <x:v>Most requirements do not have observable Given, When, Then criteria, test IDs, expected results, evidence or business approvers.</x:v>
      </x:c>
      <x:c r="F38" s="30" t="str">
        <x:v>Create end-to-end UAT scenarios and acceptance criteria for every Must requirement, including negative, concurrency and authorization tests.</x:v>
      </x:c>
      <x:c r="G38" s="30" t="str">
        <x:v>Approve UAT owners and production-sign-off authority.</x:v>
      </x:c>
      <x:c r="H38" s="30" t="str">
        <x:v>QA Lead / Business Owners</x:v>
      </x:c>
      <x:c r="I38" s="30" t="str">
        <x:v>Formal acceptance and release</x:v>
      </x:c>
      <x:c r="J38" s="30" t="str">
        <x:v>All Must requirements pass traced tests or have documented accepted defects.</x:v>
      </x:c>
      <x:c r="K38" s="31" t="str">
        <x:v>Open</x:v>
      </x:c>
      <x:c r="L38" s="32" t="str"/>
      <x:c r="M38" s="31" t="str"/>
    </x:row>
    <x:row r="39" ht="72" customHeight="1">
      <x:c r="A39" s="31" t="str">
        <x:v>GAP-30</x:v>
      </x:c>
      <x:c r="B39" s="31" t="str">
        <x:v>P1</x:v>
      </x:c>
      <x:c r="C39" s="31" t="str">
        <x:v>Custom modules and settings</x:v>
      </x:c>
      <x:c r="D39" s="31" t="str">
        <x:v>63-67</x:v>
      </x:c>
      <x:c r="E39" s="30" t="str">
        <x:v>The SRS allows administrators to configure arbitrary modules, workflows and fields without defining supported limits or server-side enforcement.</x:v>
      </x:c>
      <x:c r="F39" s="30" t="str">
        <x:v>Limit Release 1 to named configurable fields and rules, or specify the schema builder, permission model, validations, audit and migration behavior.</x:v>
      </x:c>
      <x:c r="G39" s="30" t="str">
        <x:v>Choose configuration scope for first release.</x:v>
      </x:c>
      <x:c r="H39" s="30" t="str">
        <x:v>Product Owner / Solution Architect</x:v>
      </x:c>
      <x:c r="I39" s="30" t="str">
        <x:v>Settings, schema and permissions</x:v>
      </x:c>
      <x:c r="J39" s="30" t="str">
        <x:v>Administrators can configure only documented, tested capabilities.</x:v>
      </x:c>
      <x:c r="K39" s="31" t="str">
        <x:v>Open</x:v>
      </x:c>
      <x:c r="L39" s="32" t="str"/>
      <x:c r="M39" s="31" t="str"/>
    </x:row>
    <x:row r="40" ht="72" customHeight="1">
      <x:c r="A40" s="31" t="str">
        <x:v>GAP-31</x:v>
      </x:c>
      <x:c r="B40" s="31" t="str">
        <x:v>P1</x:v>
      </x:c>
      <x:c r="C40" s="31" t="str">
        <x:v>Accessibility and compatibility</x:v>
      </x:c>
      <x:c r="D40" s="31" t="str">
        <x:v>13-15</x:v>
      </x:c>
      <x:c r="E40" s="30" t="str">
        <x:v>The SRS lists old mobile operating systems and subjective interface comments, but lacks browser versions, responsive behavior and accessibility requirements.</x:v>
      </x:c>
      <x:c r="F40" s="30" t="str">
        <x:v>Define supported browsers and devices, responsive breakpoints and WCAG 2.2 AA acceptance criteria.</x:v>
      </x:c>
      <x:c r="G40" s="30" t="str">
        <x:v>Approve the supported-device matrix.</x:v>
      </x:c>
      <x:c r="H40" s="30" t="str">
        <x:v>Client IT / UX / QA</x:v>
      </x:c>
      <x:c r="I40" s="30" t="str">
        <x:v>Frontend and browser testing</x:v>
      </x:c>
      <x:c r="J40" s="30" t="str">
        <x:v>Keyboard, contrast, labeling, error and responsive tests pass on supported platforms.</x:v>
      </x:c>
      <x:c r="K40" s="31" t="str">
        <x:v>Open</x:v>
      </x:c>
      <x:c r="L40" s="32" t="str"/>
      <x:c r="M40" s="31" t="str"/>
    </x:row>
    <x:row r="41" ht="72" customHeight="1">
      <x:c r="A41" s="31" t="str">
        <x:v>GAP-32</x:v>
      </x:c>
      <x:c r="B41" s="31" t="str">
        <x:v>P2</x:v>
      </x:c>
      <x:c r="C41" s="31" t="str">
        <x:v>Appendices and editorial quality</x:v>
      </x:c>
      <x:c r="D41" s="31" t="str">
        <x:v>72, 79 and 81-83</x:v>
      </x:c>
      <x:c r="E41" s="30" t="str">
        <x:v>The document contains a blank page, mismatched appendix headings or forms, duplicated wording, grammar errors and malformed table labels.</x:v>
      </x:c>
      <x:c r="F41" s="30" t="str">
        <x:v>Correct appendix references, remove blank pages, proofread the document and verify that every scanned form is labeled and legible.</x:v>
      </x:c>
      <x:c r="G41" s="30" t="str">
        <x:v>Confirm the authoritative version of every source form.</x:v>
      </x:c>
      <x:c r="H41" s="30" t="str">
        <x:v>SRS Author</x:v>
      </x:c>
      <x:c r="I41" s="30" t="str">
        <x:v>Document usability and traceability</x:v>
      </x:c>
      <x:c r="J41" s="30" t="str">
        <x:v>Final PDF has correct numbering, forms, cross-references and no blank or duplicate pages.</x:v>
      </x:c>
      <x:c r="K41" s="31" t="str">
        <x:v>Open</x:v>
      </x:c>
      <x:c r="L41" s="32" t="str"/>
      <x:c r="M41" s="31" t="str"/>
    </x:row>
    <x:row r="42">
      <x:c r="A42" s="34"/>
    </x:row>
    <x:row r="43">
      <x:c r="A43" s="41" t="str">
        <x:v>Source: Galle Face Hotel Software Requirement Specification, 84-page PDF reviewed 18 September 2026.</x:v>
      </x:c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  <x:c r="L43" s="33"/>
      <x:c r="M43" s="33"/>
    </x:row>
  </x:sheetData>
  <x:mergeCells>
    <x:mergeCell ref="A2:M2"/>
    <x:mergeCell ref="A3:M3"/>
    <x:mergeCell ref="H4:I4"/>
    <x:mergeCell ref="A6:M6"/>
    <x:mergeCell ref="A43:M43"/>
  </x:mergeCells>
  <x:conditionalFormatting sqref="B10:B41">
    <x:cfRule type="containsText" dxfId="0" priority="1" operator="containsText" text="P0"/>
    <x:cfRule type="containsText" dxfId="1" priority="2" operator="containsText" text="P1"/>
    <x:cfRule type="containsText" dxfId="2" priority="3" operator="containsText" text="P2"/>
  </x:conditionalFormatting>
  <x:conditionalFormatting sqref="K10:K41">
    <x:cfRule type="containsText" dxfId="3" priority="4" operator="containsText" text="Open"/>
    <x:cfRule type="containsText" dxfId="4" priority="5" operator="containsText" text="In Review"/>
    <x:cfRule type="containsText" dxfId="5" priority="6" operator="containsText" text="Closed"/>
  </x:conditionalFormatting>
  <x:dataValidations count="1">
    <x:dataValidation type="list" sqref="K10:K41">
      <x:formula1>"Open,In Review,Approved,Closed"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e860738aa1b4adb"/>
  </x:tableParts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5" hidden="0" customWidth="1"/>
    <x:col min="2" max="2" width="15" hidden="0" customWidth="1"/>
    <x:col min="3" max="3" width="43" hidden="0" customWidth="1"/>
    <x:col min="4" max="4" width="43" hidden="0" customWidth="1"/>
    <x:col min="5" max="5" width="33" hidden="0" customWidth="1"/>
  </x:cols>
  <x:sheetData>
    <x:row r="2">
      <x:c r="A2" s="1" t="str">
        <x:v>ProcureFlow Build Start Matrix</x:v>
      </x:c>
      <x:c r="B2" s="1"/>
      <x:c r="C2" s="1"/>
      <x:c r="D2" s="1"/>
      <x:c r="E2" s="1"/>
    </x:row>
    <x:row r="3">
      <x:c r="A3" s="3" t="str">
        <x:v>Catalyst is technically suitable. Transactional modules remain conditional on closing the related SRS gaps.</x:v>
      </x:c>
      <x:c r="B3" s="3"/>
      <x:c r="C3" s="3"/>
      <x:c r="D3" s="3"/>
      <x:c r="E3" s="3"/>
    </x:row>
    <x:row r="6" ht="32" customHeight="1">
      <x:c r="A6" s="27" t="str">
        <x:v>Work area</x:v>
      </x:c>
      <x:c r="B6" s="27" t="str">
        <x:v>Can start now</x:v>
      </x:c>
      <x:c r="C6" s="27" t="str">
        <x:v>Work allowed now</x:v>
      </x:c>
      <x:c r="D6" s="27" t="str">
        <x:v>Requirement still needed</x:v>
      </x:c>
      <x:c r="E6" s="27" t="str">
        <x:v>Start condition</x:v>
      </x:c>
    </x:row>
    <x:row r="7" ht="54" customHeight="1">
      <x:c r="A7" s="44" t="str">
        <x:v>Catalyst project setup</x:v>
      </x:c>
      <x:c r="B7" s="45" t="str">
        <x:v>Yes</x:v>
      </x:c>
      <x:c r="C7" s="44" t="str">
        <x:v>Confirm development project, environments, naming and deployment process.</x:v>
      </x:c>
      <x:c r="D7" s="44" t="str">
        <x:v>Approved tenancy and production environment plan.</x:v>
      </x:c>
      <x:c r="E7" s="44" t="str">
        <x:v>Architecture decision signed.</x:v>
      </x:c>
    </x:row>
    <x:row r="8" ht="54" customHeight="1">
      <x:c r="A8" s="44" t="str">
        <x:v>Authentication foundation</x:v>
      </x:c>
      <x:c r="B8" s="45" t="str">
        <x:v>Conditional</x:v>
      </x:c>
      <x:c r="C8" s="44" t="str">
        <x:v>Implement hosted employee authentication and basic server-side authorization.</x:v>
      </x:c>
      <x:c r="D8" s="44" t="str">
        <x:v>MFA or SSO, employee session and supplier authentication decisions.</x:v>
      </x:c>
      <x:c r="E8" s="44" t="str">
        <x:v>Identity policy approved.</x:v>
      </x:c>
    </x:row>
    <x:row r="9" ht="54" customHeight="1">
      <x:c r="A9" s="44" t="str">
        <x:v>Organization master data</x:v>
      </x:c>
      <x:c r="B9" s="45" t="str">
        <x:v>Conditional</x:v>
      </x:c>
      <x:c r="C9" s="44" t="str">
        <x:v>Draft organization, cluster, property, legal-entity and department tables.</x:v>
      </x:c>
      <x:c r="D9" s="44" t="str">
        <x:v>Final hierarchy and opening data.</x:v>
      </x:c>
      <x:c r="E9" s="44" t="str">
        <x:v>Organization model approved.</x:v>
      </x:c>
    </x:row>
    <x:row r="10" ht="54" customHeight="1">
      <x:c r="A10" s="44" t="str">
        <x:v>Audit framework</x:v>
      </x:c>
      <x:c r="B10" s="45" t="str">
        <x:v>Yes</x:v>
      </x:c>
      <x:c r="C10" s="44" t="str">
        <x:v>Create append-only business-event contract and correlation identifiers.</x:v>
      </x:c>
      <x:c r="D10" s="44" t="str">
        <x:v>Final retention and export rules.</x:v>
      </x:c>
      <x:c r="E10" s="44" t="str">
        <x:v>Audit event fields approved.</x:v>
      </x:c>
    </x:row>
    <x:row r="11" ht="54" customHeight="1">
      <x:c r="A11" s="44" t="str">
        <x:v>Document storage framework</x:v>
      </x:c>
      <x:c r="B11" s="45" t="str">
        <x:v>Conditional</x:v>
      </x:c>
      <x:c r="C11" s="44" t="str">
        <x:v>Create private Stratus path conventions and authorization middleware.</x:v>
      </x:c>
      <x:c r="D11" s="44" t="str">
        <x:v>Document matrix, retention, malware and waiver rules.</x:v>
      </x:c>
      <x:c r="E11" s="44" t="str">
        <x:v>File-security policy approved.</x:v>
      </x:c>
    </x:row>
    <x:row r="12" ht="54" customHeight="1">
      <x:c r="A12" s="44" t="str">
        <x:v>User-interface prototypes</x:v>
      </x:c>
      <x:c r="B12" s="45" t="str">
        <x:v>Yes</x:v>
      </x:c>
      <x:c r="C12" s="44" t="str">
        <x:v>Prototype forms and navigation for stakeholder review.</x:v>
      </x:c>
      <x:c r="D12" s="44" t="str">
        <x:v>Final business rules and validation messages.</x:v>
      </x:c>
      <x:c r="E12" s="44" t="str">
        <x:v>Prototype is explicitly non-binding.</x:v>
      </x:c>
    </x:row>
    <x:row r="13" ht="54" customHeight="1">
      <x:c r="A13" s="44" t="str">
        <x:v>Approval engine</x:v>
      </x:c>
      <x:c r="B13" s="45" t="str">
        <x:v>No</x:v>
      </x:c>
      <x:c r="C13" s="44" t="str">
        <x:v>Do not finalize route logic or schema.</x:v>
      </x:c>
      <x:c r="D13" s="44" t="str">
        <x:v>Authority matrix, exceptions and workflow versioning.</x:v>
      </x:c>
      <x:c r="E13" s="44" t="str">
        <x:v>GAP-09 and GAP-10 closed.</x:v>
      </x:c>
    </x:row>
    <x:row r="14" ht="54" customHeight="1">
      <x:c r="A14" s="44" t="str">
        <x:v>Budget engine</x:v>
      </x:c>
      <x:c r="B14" s="45" t="str">
        <x:v>No</x:v>
      </x:c>
      <x:c r="C14" s="44" t="str">
        <x:v>Do not finalize commitment calculations.</x:v>
      </x:c>
      <x:c r="D14" s="44" t="str">
        <x:v>Budget statuses, ledger timing and concurrency rules.</x:v>
      </x:c>
      <x:c r="E14" s="44" t="str">
        <x:v>GAP-07 and GAP-08 closed.</x:v>
      </x:c>
    </x:row>
    <x:row r="15" ht="54" customHeight="1">
      <x:c r="A15" s="44" t="str">
        <x:v>RFQ and bidding</x:v>
      </x:c>
      <x:c r="B15" s="45" t="str">
        <x:v>No</x:v>
      </x:c>
      <x:c r="C15" s="44" t="str">
        <x:v>Do not finalize bid visibility or award logic.</x:v>
      </x:c>
      <x:c r="D15" s="44" t="str">
        <x:v>Sourcing exceptions, sealed-bid model and RFQ state machine.</x:v>
      </x:c>
      <x:c r="E15" s="44" t="str">
        <x:v>GAP-11 to GAP-13 closed.</x:v>
      </x:c>
    </x:row>
    <x:row r="16" ht="54" customHeight="1">
      <x:c r="A16" s="44" t="str">
        <x:v>PO and receiving</x:v>
      </x:c>
      <x:c r="B16" s="45" t="str">
        <x:v>No</x:v>
      </x:c>
      <x:c r="C16" s="44" t="str">
        <x:v>Do not finalize status transitions.</x:v>
      </x:c>
      <x:c r="D16" s="44" t="str">
        <x:v>PO, GRN, SES, rejection, replacement and short-close rules.</x:v>
      </x:c>
      <x:c r="E16" s="44" t="str">
        <x:v>GAP-17 and GAP-18 closed.</x:v>
      </x:c>
    </x:row>
    <x:row r="17" ht="54" customHeight="1">
      <x:c r="A17" s="44" t="str">
        <x:v>Invoices and payments</x:v>
      </x:c>
      <x:c r="B17" s="45" t="str">
        <x:v>No</x:v>
      </x:c>
      <x:c r="C17" s="44" t="str">
        <x:v>Do not finalize matching or settlement.</x:v>
      </x:c>
      <x:c r="D17" s="44" t="str">
        <x:v>Matching tolerances, payment scope, overrides and reconciliation.</x:v>
      </x:c>
      <x:c r="E17" s="44" t="str">
        <x:v>GAP-19 to GAP-22 closed.</x:v>
      </x:c>
    </x:row>
    <x:row r="18" ht="54" customHeight="1">
      <x:c r="A18" s="44" t="str">
        <x:v>Migration and go-live</x:v>
      </x:c>
      <x:c r="B18" s="45" t="str">
        <x:v>No</x:v>
      </x:c>
      <x:c r="C18" s="44" t="str">
        <x:v>Start source inventory only.</x:v>
      </x:c>
      <x:c r="D18" s="44" t="str">
        <x:v>Migration, operations, recovery, UAT and approval plans.</x:v>
      </x:c>
      <x:c r="E18" s="44" t="str">
        <x:v>GAP-23, GAP-24 and GAP-27 to GAP-29 closed.</x:v>
      </x:c>
    </x:row>
    <x:row r="20" ht="42" customHeight="1">
      <x:c r="A20" s="48" t="str">
        <x:v>Current repository note: the Catalyst project is initialized. The latest verification run passed 12 of 15 stages; three browser stages could not start because the local ws test dependency is missing.</x:v>
      </x:c>
      <x:c r="B20" s="48"/>
      <x:c r="C20" s="48"/>
      <x:c r="D20" s="48"/>
      <x:c r="E20" s="48"/>
    </x:row>
  </x:sheetData>
  <x:mergeCells>
    <x:mergeCell ref="A2:E2"/>
    <x:mergeCell ref="A3:E3"/>
    <x:mergeCell ref="A20:E20"/>
  </x:mergeCells>
  <x:conditionalFormatting sqref="B7:B18">
    <x:cfRule type="containsText" dxfId="6" priority="1" operator="containsText" text="No"/>
    <x:cfRule type="containsText" dxfId="7" priority="2" operator="containsText" text="Conditional"/>
    <x:cfRule type="containsText" dxfId="8" priority="3" operator="containsText" text="Yes"/>
  </x:conditionalFormatting>
  <x:pageMargins left="0.7" right="0.7" top="0.75" bottom="0.75" header="0.3" footer="0.3"/>
  <x:tableParts count="1">
    <x:tablePart xmlns:r="http://schemas.openxmlformats.org/officeDocument/2006/relationships" r:id="R7a87f6b5cf53462c"/>
  </x:tableParts>
</x:worksheet>
</file>